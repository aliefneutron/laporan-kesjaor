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EF COMPUTER\Documents\"/>
    </mc:Choice>
  </mc:AlternateContent>
  <xr:revisionPtr revIDLastSave="0" documentId="8_{E4535A1C-FA97-49D4-B615-D555D0F5CBC3}" xr6:coauthVersionLast="36" xr6:coauthVersionMax="36" xr10:uidLastSave="{00000000-0000-0000-0000-000000000000}"/>
  <bookViews>
    <workbookView xWindow="0" yWindow="0" windowWidth="28800" windowHeight="12225" activeTab="1" xr2:uid="{2709B932-192E-4605-8CFE-B5425E89634A}"/>
  </bookViews>
  <sheets>
    <sheet name="LBKO 2025" sheetId="1" r:id="rId1"/>
    <sheet name="LBKP 2025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8" i="2" l="1"/>
  <c r="O97" i="2"/>
  <c r="O95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 s="1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0" i="2" s="1"/>
  <c r="O51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 s="1"/>
  <c r="O25" i="2"/>
  <c r="O24" i="2"/>
  <c r="O22" i="2"/>
  <c r="O21" i="2"/>
  <c r="O20" i="2"/>
  <c r="O19" i="2"/>
  <c r="O17" i="2"/>
  <c r="O16" i="2"/>
  <c r="O15" i="2"/>
  <c r="O14" i="2"/>
  <c r="O13" i="2"/>
  <c r="O9" i="2"/>
  <c r="O76" i="1"/>
  <c r="O75" i="1"/>
  <c r="O74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6" i="1"/>
  <c r="O15" i="1"/>
  <c r="O13" i="1"/>
  <c r="O12" i="1"/>
  <c r="O11" i="1"/>
  <c r="O10" i="1"/>
  <c r="O9" i="1"/>
</calcChain>
</file>

<file path=xl/sharedStrings.xml><?xml version="1.0" encoding="utf-8"?>
<sst xmlns="http://schemas.openxmlformats.org/spreadsheetml/2006/main" count="258" uniqueCount="121">
  <si>
    <t>LAPORAN BULANAN KESEHATAN OLAHRAGA</t>
  </si>
  <si>
    <t>PROVINSI JAWA TIMUR TAHUN 2025</t>
  </si>
  <si>
    <t>KABUPATEN / KOTA</t>
  </si>
  <si>
    <t>: …....................................</t>
  </si>
  <si>
    <t>PUSKESMAS</t>
  </si>
  <si>
    <t>INDIKATOR KINERJA</t>
  </si>
  <si>
    <t>JAN</t>
  </si>
  <si>
    <t>FEB</t>
  </si>
  <si>
    <t>MAR</t>
  </si>
  <si>
    <t>APR</t>
  </si>
  <si>
    <t>MEI</t>
  </si>
  <si>
    <t>JUNI</t>
  </si>
  <si>
    <t>JULI</t>
  </si>
  <si>
    <t>AGUST</t>
  </si>
  <si>
    <t>SEPT</t>
  </si>
  <si>
    <t>OKT</t>
  </si>
  <si>
    <t>NOV</t>
  </si>
  <si>
    <t>DES</t>
  </si>
  <si>
    <t>JUMLAH</t>
  </si>
  <si>
    <t>AKTIVITAS FISIK DI PUSKESMAS</t>
  </si>
  <si>
    <t>1.</t>
  </si>
  <si>
    <t>Jumlah peregangan (internal) yang dilakukan</t>
  </si>
  <si>
    <t>2.</t>
  </si>
  <si>
    <t>Jumlah senam/kegiatan olahraga bersama yang dilakukan</t>
  </si>
  <si>
    <t>3.</t>
  </si>
  <si>
    <t>Jumlah edukasi aktivitas fisik (dalam &amp; luar gedung)</t>
  </si>
  <si>
    <t>4.</t>
  </si>
  <si>
    <t>Jumlah petugas dilakukan skrining kebugaran jasmani</t>
  </si>
  <si>
    <t>5.</t>
  </si>
  <si>
    <r>
      <t xml:space="preserve">Puskesmas menyelenggarakan aktivitas fisik </t>
    </r>
    <r>
      <rPr>
        <b/>
        <sz val="11"/>
        <color theme="1"/>
        <rFont val="Arial"/>
        <family val="2"/>
      </rPr>
      <t>(Ya/Tidak)</t>
    </r>
  </si>
  <si>
    <t>AKTIVITAS FISIK DI PUSTU</t>
  </si>
  <si>
    <t>Jumlah Pustu yang menyelenggarakan aktivitas fisik (edukasi aktivitas fisik &amp; pengukuran kebugaran kel olahraga)</t>
  </si>
  <si>
    <t>Jumlah Pustu di wilayah kerja</t>
  </si>
  <si>
    <t>PEMBINAAN KELOMPOK OLAHRAGA</t>
  </si>
  <si>
    <t>IBU HAMIL</t>
  </si>
  <si>
    <t>Jumlah Kelompok Sasaran</t>
  </si>
  <si>
    <t>Jumlah Kelompok yang Dibina</t>
  </si>
  <si>
    <t>Jumlah Anggota Kelompok Sasaran</t>
  </si>
  <si>
    <t>Jumlah Anggota Kelompok yang Dibina</t>
  </si>
  <si>
    <t>LANSIA</t>
  </si>
  <si>
    <t>KEL OLAHRAGA LAINNYA</t>
  </si>
  <si>
    <t>SKRINING KEBUGARAN JASMANI</t>
  </si>
  <si>
    <t>CALON JAMAAH HAJI</t>
  </si>
  <si>
    <t>Jumlah CJH diukur kebugaran</t>
  </si>
  <si>
    <t>Jumlah CJH Terdaftar</t>
  </si>
  <si>
    <t>Hasil Kebugaran :</t>
  </si>
  <si>
    <t>Baik Sekali</t>
  </si>
  <si>
    <t>Baik</t>
  </si>
  <si>
    <t>Cukup</t>
  </si>
  <si>
    <t>Kurang</t>
  </si>
  <si>
    <t>Kurang Sekali</t>
  </si>
  <si>
    <t>ANAK USIA SEKOLAH</t>
  </si>
  <si>
    <t>Jumlah SD / sederajat</t>
  </si>
  <si>
    <t>Jumlah SD / sederajat yang diukur</t>
  </si>
  <si>
    <t xml:space="preserve">Jumlah Siswa yang diukur </t>
  </si>
  <si>
    <t>Jumlah Siswa usia 10-12 Tahun (Kelas 4,5,6)</t>
  </si>
  <si>
    <t>PEKERJA</t>
  </si>
  <si>
    <t>Jumlah pekerja sasaran</t>
  </si>
  <si>
    <t>Jumlah pekerja diukur</t>
  </si>
  <si>
    <t>Jumlah tempat kerja yang melakukan pengukuran kebugaran</t>
  </si>
  <si>
    <t>KELOMPOK OLAHRAGA</t>
  </si>
  <si>
    <t>Jumlah Kel Olahraga diukur kebugaran</t>
  </si>
  <si>
    <t>Jumlah Kel Olahraga</t>
  </si>
  <si>
    <t>PENILAIAN FAKTOR RISIKO &amp; PELAYANAN KESOR</t>
  </si>
  <si>
    <t>Jumlah orang yang dilayani penanganan cidera olahraga</t>
  </si>
  <si>
    <t>Jumlah kegiatan penilaian faktor risiko (inspeksi kesehatan lingkungan, keamanan pangan, pengendalian vektor, dsb) dan pelayanan kesehatan olahraga (tim P3K/gadar, dsb)</t>
  </si>
  <si>
    <t>Jumlah orang yang diedukasi latihan fisik BBTT</t>
  </si>
  <si>
    <t>LAPORAN BULANAN KESEHATAN KERJA</t>
  </si>
  <si>
    <t>POS UKK</t>
  </si>
  <si>
    <t xml:space="preserve">Jumlah Pos UKK </t>
  </si>
  <si>
    <t xml:space="preserve">Jumlah Pos UKK Aktif </t>
  </si>
  <si>
    <t>PEMBINAAN TEMPAT KERJA FORMAL</t>
  </si>
  <si>
    <t>A.</t>
  </si>
  <si>
    <t>K3 PERKANTORAN</t>
  </si>
  <si>
    <t>Jumlah Kantor Pemerintah Tingkat Kecamatan, yaitu Kantor Kec, POLSEK, KORAMIL, KUA</t>
  </si>
  <si>
    <t>Jumlah Kantor Kec, POLSEK, KORAMIL, KUA yang telah dilakukan penilaian &amp; rekomendasi K3 Perkantoran</t>
  </si>
  <si>
    <t>Jumlah Kantor Kec, POLSEK, KORAMIL, KUA dengan kategori cukup min. 40%</t>
  </si>
  <si>
    <r>
      <t>Jumlah Tempat Kerja lainnya (</t>
    </r>
    <r>
      <rPr>
        <sz val="11"/>
        <rFont val="Calibri"/>
        <family val="2"/>
      </rPr>
      <t xml:space="preserve">≤ </t>
    </r>
    <r>
      <rPr>
        <sz val="11"/>
        <rFont val="Arial"/>
        <family val="2"/>
      </rPr>
      <t>100 pekerja) melaksanakan K3 Perkantoran (kategori cukup min. 40%)</t>
    </r>
  </si>
  <si>
    <t>bit.ly/SAK3Perkantoran</t>
  </si>
  <si>
    <t>Jumlah Tempat Kerja lainnya (&gt; 100 pekerja) melaksanakan K3 Perkantoran (kategori cukup min. 40%)</t>
  </si>
  <si>
    <t>B.</t>
  </si>
  <si>
    <t>GP2SP</t>
  </si>
  <si>
    <t>Jumlah Tempat Kerja Formal yang dibina GP2SP (sosialisasi, skrining, dsb)</t>
  </si>
  <si>
    <r>
      <t>A. Jumlah tempat kerja yang memiliki</t>
    </r>
    <r>
      <rPr>
        <sz val="11"/>
        <rFont val="Arial"/>
        <family val="2"/>
      </rPr>
      <t xml:space="preserve"> ≤ 50 pekerja perempuan</t>
    </r>
  </si>
  <si>
    <t>B. Jumlah tempat kerja yang memiliki &gt; 50 pekerja perempuan</t>
  </si>
  <si>
    <t>Jumlah Tempat Kerja Formal melaksanakan GP2SP (min. 40% instrumen GP2SP)</t>
  </si>
  <si>
    <t>C.</t>
  </si>
  <si>
    <t>KESEHATAN KERJA TEMPAT KERJA FORMAL (RPJMN)</t>
  </si>
  <si>
    <t>Jumlah tempat kerja sektor formal (memiliki &gt; 100 pekerja dan/atau risiko tinggi)</t>
  </si>
  <si>
    <t>Tempat kerja sektor formal (memiliki &gt; 100 pekerja dan/atau risiko tinggi) yang melaksanakan kesehatan kerja sesuai instrumen kesja</t>
  </si>
  <si>
    <t>PENYAKIT AKIBAT KERJA (PAK)</t>
  </si>
  <si>
    <r>
      <rPr>
        <sz val="11"/>
        <color theme="1"/>
        <rFont val="Arial"/>
        <family val="2"/>
      </rPr>
      <t xml:space="preserve">Apakah memiliki dokter PAK </t>
    </r>
    <r>
      <rPr>
        <b/>
        <sz val="11"/>
        <color theme="1"/>
        <rFont val="Arial"/>
        <family val="2"/>
      </rPr>
      <t>(Ya/Tidak)</t>
    </r>
  </si>
  <si>
    <t>Jumlah Penyakit Akibat Kerja</t>
  </si>
  <si>
    <t>TB Paru Akibat Kerja (A15.0)</t>
  </si>
  <si>
    <t>Mesothelioma Akibat Kerja (C45.0)</t>
  </si>
  <si>
    <t>Asbestosis Akibat Kerja (J61)</t>
  </si>
  <si>
    <t>Asma akibat Kerja (J45.9)</t>
  </si>
  <si>
    <t>Dermatitis Kontak iritan akibat kerja (L.24)</t>
  </si>
  <si>
    <t>Dermatitis kontak alergi akibat kerja (L23)</t>
  </si>
  <si>
    <t>Varicella Akibat Kerja (B01)</t>
  </si>
  <si>
    <t>Carpal Tunnel Syndrom Akibat Kerja (G.56.0)</t>
  </si>
  <si>
    <t>Nyeri Punggung Bawah Sederhanan Akibat Kerja (M54.5)</t>
  </si>
  <si>
    <t>HNP Akibat Kerja (M51.1)</t>
  </si>
  <si>
    <t>Katarak Juvenilis Akibat Kerja (H.26.8)</t>
  </si>
  <si>
    <t>Keratitis Exposure (H16.1)</t>
  </si>
  <si>
    <t>Tuli Sensori neural akibat bising di tempat kerja (Noise Induced Hearing Loss (H83.3)</t>
  </si>
  <si>
    <t>Sinus baro trauma akibat kerja (T70.1)</t>
  </si>
  <si>
    <t>Barotrauma (Mata,Saluran Cerna Saluran Napas,Kulit,Gigi) Akibat Kerja (T70.9)</t>
  </si>
  <si>
    <t>Penyakit Dekompresi Akibat Kerja (Caisson Disease) (T70.3)</t>
  </si>
  <si>
    <t>Hepatitis B Akibat Kerja (B16)</t>
  </si>
  <si>
    <t>Hepatitis C Akibat Kerja (B17.0)</t>
  </si>
  <si>
    <t>Rhinitis dan Rhinosinusitis Akibat Kerja (J00)</t>
  </si>
  <si>
    <t>Laryngitis Akut Akibat Kerja (J04.0)</t>
  </si>
  <si>
    <t>Covid 19 (B34.2)</t>
  </si>
  <si>
    <t>Jumlah Terduga Penyakit Akibat Kerja</t>
  </si>
  <si>
    <t>Jumlah Rujukan Penyakit Akibat Kerja</t>
  </si>
  <si>
    <t>KECELAKAAN AKIBAT KERJA (KAK)</t>
  </si>
  <si>
    <t>Jumlah Kecelakaan Akibat Kerja (KAK)</t>
  </si>
  <si>
    <t>SKRINING KESEHATAN PEKERJA</t>
  </si>
  <si>
    <r>
      <t xml:space="preserve">Jumlah </t>
    </r>
    <r>
      <rPr>
        <b/>
        <sz val="11"/>
        <color theme="1"/>
        <rFont val="Arial"/>
        <family val="2"/>
      </rPr>
      <t xml:space="preserve">tempat kerja FORMAL dan INFORMAL </t>
    </r>
    <r>
      <rPr>
        <sz val="11"/>
        <color theme="1"/>
        <rFont val="Arial"/>
        <family val="2"/>
      </rPr>
      <t>yang dilakukan skrining kesehatan &amp; faktor risiko kesehatan kerja</t>
    </r>
  </si>
  <si>
    <r>
      <t xml:space="preserve">Jumlah </t>
    </r>
    <r>
      <rPr>
        <b/>
        <sz val="11"/>
        <color theme="1"/>
        <rFont val="Arial"/>
        <family val="2"/>
      </rPr>
      <t>pekerja FORMAL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 xml:space="preserve">dan INFORMAL </t>
    </r>
    <r>
      <rPr>
        <sz val="11"/>
        <color theme="1"/>
        <rFont val="Arial"/>
        <family val="2"/>
      </rPr>
      <t xml:space="preserve">yang dilakukan skrining kesehatan &amp; faktor risiko kesehatan kerja </t>
    </r>
    <r>
      <rPr>
        <b/>
        <sz val="11"/>
        <color theme="1"/>
        <rFont val="Arial"/>
        <family val="2"/>
      </rPr>
      <t>oleh puskesmas dan tempat kerja secara mandiri</t>
    </r>
    <r>
      <rPr>
        <sz val="11"/>
        <color theme="1"/>
        <rFont val="Arial"/>
        <family val="2"/>
      </rPr>
      <t xml:space="preserve"> (sumber : data pekerja yang diskrining kesehatan melalui tempat kerja (pos ukk, kebugaran, dsb) / layanan ILP dewasa (pekerja) / CKG di tempat kerja / jumlah pekerja yang dilakukan mcu atau skrining mandiri oleh perusahaan/tempat kerja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</si>
</sst>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E6D3-B556-4ACC-A33D-E05330F2B0C5}">
  <dimension ref="A1:P76"/>
  <sheetViews>
    <sheetView zoomScale="85" zoomScaleNormal="85" workbookViewId="0">
      <selection activeCell="C15" sqref="C15"/>
    </sheetView>
  </sheetViews>
  <sheetFormatPr defaultColWidth="9.140625" defaultRowHeight="15" x14ac:dyDescent="0.25"/>
  <cols>
    <col min="1" max="1" width="3.85546875" style="1" customWidth="1"/>
    <col min="2" max="2" width="55.42578125" style="3" bestFit="1" customWidth="1"/>
    <col min="3" max="14" width="9.140625" style="4" customWidth="1"/>
    <col min="15" max="15" width="13" style="4" customWidth="1"/>
    <col min="16" max="16" width="5.7109375" style="1" customWidth="1"/>
    <col min="17" max="16384" width="9.140625" style="1"/>
  </cols>
  <sheetData>
    <row r="1" spans="1:16" ht="20.100000000000001" customHeight="1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0.100000000000001" customHeight="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8.1" customHeight="1" x14ac:dyDescent="0.25"/>
    <row r="4" spans="1:16" ht="20.100000000000001" customHeight="1" x14ac:dyDescent="0.25">
      <c r="A4" s="5" t="s">
        <v>2</v>
      </c>
      <c r="C4" s="6" t="s">
        <v>3</v>
      </c>
    </row>
    <row r="5" spans="1:16" ht="20.100000000000001" customHeight="1" x14ac:dyDescent="0.25">
      <c r="A5" s="5" t="s">
        <v>4</v>
      </c>
      <c r="C5" s="6" t="s">
        <v>3</v>
      </c>
    </row>
    <row r="6" spans="1:16" ht="8.1" customHeight="1" x14ac:dyDescent="0.25"/>
    <row r="7" spans="1:16" ht="18" customHeight="1" x14ac:dyDescent="0.25">
      <c r="A7" s="7" t="s">
        <v>5</v>
      </c>
      <c r="B7" s="7"/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8" t="s">
        <v>16</v>
      </c>
      <c r="N7" s="8" t="s">
        <v>17</v>
      </c>
      <c r="O7" s="8" t="s">
        <v>18</v>
      </c>
    </row>
    <row r="8" spans="1:16" ht="14.45" customHeight="1" x14ac:dyDescent="0.25">
      <c r="A8" s="9" t="s">
        <v>19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6" ht="14.25" x14ac:dyDescent="0.25">
      <c r="A9" s="11" t="s">
        <v>20</v>
      </c>
      <c r="B9" s="12" t="s">
        <v>21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>
        <f t="shared" ref="O9:O16" si="0">SUM(C9:N9)</f>
        <v>0</v>
      </c>
    </row>
    <row r="10" spans="1:16" ht="14.25" x14ac:dyDescent="0.25">
      <c r="A10" s="11" t="s">
        <v>22</v>
      </c>
      <c r="B10" s="12" t="s">
        <v>23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f t="shared" si="0"/>
        <v>0</v>
      </c>
    </row>
    <row r="11" spans="1:16" ht="14.25" x14ac:dyDescent="0.25">
      <c r="A11" s="11" t="s">
        <v>24</v>
      </c>
      <c r="B11" s="12" t="s">
        <v>25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>
        <f t="shared" si="0"/>
        <v>0</v>
      </c>
    </row>
    <row r="12" spans="1:16" ht="15.95" customHeight="1" x14ac:dyDescent="0.25">
      <c r="A12" s="11" t="s">
        <v>26</v>
      </c>
      <c r="B12" s="14" t="s">
        <v>27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>
        <f t="shared" si="0"/>
        <v>0</v>
      </c>
    </row>
    <row r="13" spans="1:16" ht="15.6" customHeight="1" x14ac:dyDescent="0.25">
      <c r="A13" s="11" t="s">
        <v>28</v>
      </c>
      <c r="B13" s="14" t="s">
        <v>29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f t="shared" si="0"/>
        <v>0</v>
      </c>
    </row>
    <row r="14" spans="1:16" ht="14.45" customHeight="1" x14ac:dyDescent="0.25">
      <c r="A14" s="9" t="s">
        <v>30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6" ht="30" customHeight="1" x14ac:dyDescent="0.25">
      <c r="A15" s="15" t="s">
        <v>20</v>
      </c>
      <c r="B15" s="16" t="s">
        <v>31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f t="shared" si="0"/>
        <v>0</v>
      </c>
    </row>
    <row r="16" spans="1:16" ht="17.100000000000001" customHeight="1" x14ac:dyDescent="0.25">
      <c r="A16" s="15" t="s">
        <v>22</v>
      </c>
      <c r="B16" s="16" t="s">
        <v>32</v>
      </c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17">
        <f t="shared" si="0"/>
        <v>0</v>
      </c>
    </row>
    <row r="17" spans="1:15" ht="14.45" customHeight="1" x14ac:dyDescent="0.25">
      <c r="A17" s="21" t="s">
        <v>33</v>
      </c>
      <c r="B17" s="2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ht="14.45" customHeight="1" x14ac:dyDescent="0.25">
      <c r="A18" s="23"/>
      <c r="B18" s="23" t="s">
        <v>34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f t="shared" ref="O18:O32" si="1">SUM(C18:N18)</f>
        <v>0</v>
      </c>
    </row>
    <row r="19" spans="1:15" ht="14.25" x14ac:dyDescent="0.25">
      <c r="A19" s="15" t="s">
        <v>20</v>
      </c>
      <c r="B19" s="24" t="s">
        <v>35</v>
      </c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17">
        <f t="shared" si="1"/>
        <v>0</v>
      </c>
    </row>
    <row r="20" spans="1:15" ht="14.25" x14ac:dyDescent="0.25">
      <c r="A20" s="15" t="s">
        <v>22</v>
      </c>
      <c r="B20" s="24" t="s">
        <v>36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f t="shared" si="1"/>
        <v>0</v>
      </c>
    </row>
    <row r="21" spans="1:15" ht="14.25" x14ac:dyDescent="0.25">
      <c r="A21" s="15" t="s">
        <v>24</v>
      </c>
      <c r="B21" s="24" t="s">
        <v>37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f t="shared" si="1"/>
        <v>0</v>
      </c>
    </row>
    <row r="22" spans="1:15" ht="14.25" x14ac:dyDescent="0.25">
      <c r="A22" s="15" t="s">
        <v>26</v>
      </c>
      <c r="B22" s="24" t="s">
        <v>38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f t="shared" si="1"/>
        <v>0</v>
      </c>
    </row>
    <row r="23" spans="1:15" x14ac:dyDescent="0.25">
      <c r="A23" s="15"/>
      <c r="B23" s="23" t="s">
        <v>39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f t="shared" si="1"/>
        <v>0</v>
      </c>
    </row>
    <row r="24" spans="1:15" ht="14.25" x14ac:dyDescent="0.25">
      <c r="A24" s="15" t="s">
        <v>20</v>
      </c>
      <c r="B24" s="24" t="s">
        <v>35</v>
      </c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20"/>
      <c r="O24" s="17">
        <f t="shared" si="1"/>
        <v>0</v>
      </c>
    </row>
    <row r="25" spans="1:15" ht="14.25" x14ac:dyDescent="0.25">
      <c r="A25" s="15" t="s">
        <v>22</v>
      </c>
      <c r="B25" s="24" t="s">
        <v>36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f t="shared" si="1"/>
        <v>0</v>
      </c>
    </row>
    <row r="26" spans="1:15" ht="14.25" x14ac:dyDescent="0.25">
      <c r="A26" s="15" t="s">
        <v>24</v>
      </c>
      <c r="B26" s="24" t="s">
        <v>37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f t="shared" si="1"/>
        <v>0</v>
      </c>
    </row>
    <row r="27" spans="1:15" ht="14.25" x14ac:dyDescent="0.25">
      <c r="A27" s="15" t="s">
        <v>26</v>
      </c>
      <c r="B27" s="24" t="s">
        <v>38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f t="shared" si="1"/>
        <v>0</v>
      </c>
    </row>
    <row r="28" spans="1:15" x14ac:dyDescent="0.25">
      <c r="A28" s="25"/>
      <c r="B28" s="23" t="s">
        <v>40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f t="shared" si="1"/>
        <v>0</v>
      </c>
    </row>
    <row r="29" spans="1:15" ht="14.25" x14ac:dyDescent="0.25">
      <c r="A29" s="15" t="s">
        <v>20</v>
      </c>
      <c r="B29" s="24" t="s">
        <v>35</v>
      </c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0"/>
      <c r="O29" s="17">
        <f t="shared" si="1"/>
        <v>0</v>
      </c>
    </row>
    <row r="30" spans="1:15" ht="14.25" x14ac:dyDescent="0.25">
      <c r="A30" s="15" t="s">
        <v>22</v>
      </c>
      <c r="B30" s="24" t="s">
        <v>36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f t="shared" si="1"/>
        <v>0</v>
      </c>
    </row>
    <row r="31" spans="1:15" ht="14.25" x14ac:dyDescent="0.25">
      <c r="A31" s="15" t="s">
        <v>24</v>
      </c>
      <c r="B31" s="24" t="s">
        <v>37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f t="shared" si="1"/>
        <v>0</v>
      </c>
    </row>
    <row r="32" spans="1:15" ht="14.25" x14ac:dyDescent="0.25">
      <c r="A32" s="15" t="s">
        <v>26</v>
      </c>
      <c r="B32" s="24" t="s">
        <v>38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f t="shared" si="1"/>
        <v>0</v>
      </c>
    </row>
    <row r="33" spans="1:15" ht="14.45" customHeight="1" x14ac:dyDescent="0.25">
      <c r="A33" s="21" t="s">
        <v>41</v>
      </c>
      <c r="B33" s="22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ht="14.45" customHeight="1" x14ac:dyDescent="0.25">
      <c r="A34" s="23"/>
      <c r="B34" s="23" t="s">
        <v>42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f t="shared" ref="O34:O76" si="2">SUM(C34:N34)</f>
        <v>0</v>
      </c>
    </row>
    <row r="35" spans="1:15" ht="14.25" x14ac:dyDescent="0.25">
      <c r="A35" s="15" t="s">
        <v>20</v>
      </c>
      <c r="B35" s="24" t="s">
        <v>43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f t="shared" si="2"/>
        <v>0</v>
      </c>
    </row>
    <row r="36" spans="1:15" ht="14.25" x14ac:dyDescent="0.25">
      <c r="A36" s="15" t="s">
        <v>22</v>
      </c>
      <c r="B36" s="24" t="s">
        <v>44</v>
      </c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  <c r="O36" s="17">
        <f t="shared" si="2"/>
        <v>0</v>
      </c>
    </row>
    <row r="37" spans="1:15" ht="14.25" x14ac:dyDescent="0.25">
      <c r="A37" s="15" t="s">
        <v>24</v>
      </c>
      <c r="B37" s="24" t="s">
        <v>45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f t="shared" si="2"/>
        <v>0</v>
      </c>
    </row>
    <row r="38" spans="1:15" ht="14.25" x14ac:dyDescent="0.25">
      <c r="A38" s="15"/>
      <c r="B38" s="24" t="s">
        <v>46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f t="shared" si="2"/>
        <v>0</v>
      </c>
    </row>
    <row r="39" spans="1:15" ht="14.25" x14ac:dyDescent="0.25">
      <c r="A39" s="15"/>
      <c r="B39" s="24" t="s">
        <v>47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f t="shared" si="2"/>
        <v>0</v>
      </c>
    </row>
    <row r="40" spans="1:15" ht="14.25" x14ac:dyDescent="0.25">
      <c r="A40" s="15"/>
      <c r="B40" s="24" t="s">
        <v>48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f t="shared" si="2"/>
        <v>0</v>
      </c>
    </row>
    <row r="41" spans="1:15" ht="14.25" x14ac:dyDescent="0.25">
      <c r="A41" s="15"/>
      <c r="B41" s="24" t="s">
        <v>49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f t="shared" si="2"/>
        <v>0</v>
      </c>
    </row>
    <row r="42" spans="1:15" ht="14.25" x14ac:dyDescent="0.25">
      <c r="A42" s="15"/>
      <c r="B42" s="24" t="s">
        <v>50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f t="shared" si="2"/>
        <v>0</v>
      </c>
    </row>
    <row r="43" spans="1:15" ht="14.45" customHeight="1" x14ac:dyDescent="0.25">
      <c r="A43" s="23"/>
      <c r="B43" s="23" t="s">
        <v>51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f t="shared" si="2"/>
        <v>0</v>
      </c>
    </row>
    <row r="44" spans="1:15" ht="14.25" x14ac:dyDescent="0.25">
      <c r="A44" s="15" t="s">
        <v>20</v>
      </c>
      <c r="B44" s="24" t="s">
        <v>52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f t="shared" si="2"/>
        <v>0</v>
      </c>
    </row>
    <row r="45" spans="1:15" ht="14.25" x14ac:dyDescent="0.25">
      <c r="A45" s="15" t="s">
        <v>22</v>
      </c>
      <c r="B45" s="24" t="s">
        <v>53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>
        <f t="shared" si="2"/>
        <v>0</v>
      </c>
    </row>
    <row r="46" spans="1:15" ht="14.25" x14ac:dyDescent="0.25">
      <c r="A46" s="15" t="s">
        <v>24</v>
      </c>
      <c r="B46" s="25" t="s">
        <v>54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f t="shared" si="2"/>
        <v>0</v>
      </c>
    </row>
    <row r="47" spans="1:15" ht="14.25" x14ac:dyDescent="0.25">
      <c r="A47" s="15" t="s">
        <v>26</v>
      </c>
      <c r="B47" s="25" t="s">
        <v>55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f t="shared" si="2"/>
        <v>0</v>
      </c>
    </row>
    <row r="48" spans="1:15" ht="14.25" x14ac:dyDescent="0.25">
      <c r="A48" s="15" t="s">
        <v>24</v>
      </c>
      <c r="B48" s="24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f t="shared" si="2"/>
        <v>0</v>
      </c>
    </row>
    <row r="49" spans="1:15" ht="14.25" x14ac:dyDescent="0.25">
      <c r="A49" s="15"/>
      <c r="B49" s="24" t="s">
        <v>46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f t="shared" si="2"/>
        <v>0</v>
      </c>
    </row>
    <row r="50" spans="1:15" ht="14.25" x14ac:dyDescent="0.25">
      <c r="A50" s="15"/>
      <c r="B50" s="24" t="s">
        <v>47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f t="shared" si="2"/>
        <v>0</v>
      </c>
    </row>
    <row r="51" spans="1:15" ht="14.25" x14ac:dyDescent="0.25">
      <c r="A51" s="15"/>
      <c r="B51" s="24" t="s">
        <v>48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f t="shared" si="2"/>
        <v>0</v>
      </c>
    </row>
    <row r="52" spans="1:15" ht="14.25" x14ac:dyDescent="0.25">
      <c r="A52" s="15"/>
      <c r="B52" s="24" t="s">
        <v>49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f t="shared" si="2"/>
        <v>0</v>
      </c>
    </row>
    <row r="53" spans="1:15" ht="14.25" x14ac:dyDescent="0.25">
      <c r="A53" s="15"/>
      <c r="B53" s="24" t="s">
        <v>50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f t="shared" si="2"/>
        <v>0</v>
      </c>
    </row>
    <row r="54" spans="1:15" x14ac:dyDescent="0.25">
      <c r="A54" s="23"/>
      <c r="B54" s="23" t="s">
        <v>56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>
        <f t="shared" si="2"/>
        <v>0</v>
      </c>
    </row>
    <row r="55" spans="1:15" ht="14.25" x14ac:dyDescent="0.25">
      <c r="A55" s="15" t="s">
        <v>20</v>
      </c>
      <c r="B55" s="24" t="s">
        <v>57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f t="shared" si="2"/>
        <v>0</v>
      </c>
    </row>
    <row r="56" spans="1:15" ht="14.25" x14ac:dyDescent="0.25">
      <c r="A56" s="15" t="s">
        <v>22</v>
      </c>
      <c r="B56" s="24" t="s">
        <v>58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f t="shared" si="2"/>
        <v>0</v>
      </c>
    </row>
    <row r="57" spans="1:15" ht="14.25" x14ac:dyDescent="0.25">
      <c r="A57" s="15" t="s">
        <v>24</v>
      </c>
      <c r="B57" s="24" t="s">
        <v>59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f t="shared" si="2"/>
        <v>0</v>
      </c>
    </row>
    <row r="58" spans="1:15" ht="14.25" x14ac:dyDescent="0.25">
      <c r="A58" s="15" t="s">
        <v>26</v>
      </c>
      <c r="B58" s="24" t="s">
        <v>45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>
        <f t="shared" si="2"/>
        <v>0</v>
      </c>
    </row>
    <row r="59" spans="1:15" ht="14.25" x14ac:dyDescent="0.25">
      <c r="A59" s="15"/>
      <c r="B59" s="24" t="s">
        <v>46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>
        <f t="shared" si="2"/>
        <v>0</v>
      </c>
    </row>
    <row r="60" spans="1:15" ht="14.25" x14ac:dyDescent="0.25">
      <c r="A60" s="15"/>
      <c r="B60" s="24" t="s">
        <v>47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>
        <f t="shared" si="2"/>
        <v>0</v>
      </c>
    </row>
    <row r="61" spans="1:15" ht="14.25" x14ac:dyDescent="0.25">
      <c r="A61" s="15"/>
      <c r="B61" s="24" t="s">
        <v>48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f t="shared" si="2"/>
        <v>0</v>
      </c>
    </row>
    <row r="62" spans="1:15" ht="14.25" x14ac:dyDescent="0.25">
      <c r="A62" s="15"/>
      <c r="B62" s="24" t="s">
        <v>49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f t="shared" si="2"/>
        <v>0</v>
      </c>
    </row>
    <row r="63" spans="1:15" ht="14.25" x14ac:dyDescent="0.25">
      <c r="A63" s="15"/>
      <c r="B63" s="24" t="s">
        <v>50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f t="shared" si="2"/>
        <v>0</v>
      </c>
    </row>
    <row r="64" spans="1:15" x14ac:dyDescent="0.25">
      <c r="A64" s="23"/>
      <c r="B64" s="23" t="s">
        <v>60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f t="shared" si="2"/>
        <v>0</v>
      </c>
    </row>
    <row r="65" spans="1:15" ht="14.25" x14ac:dyDescent="0.25">
      <c r="A65" s="15" t="s">
        <v>20</v>
      </c>
      <c r="B65" s="24" t="s">
        <v>61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f t="shared" si="2"/>
        <v>0</v>
      </c>
    </row>
    <row r="66" spans="1:15" ht="14.25" x14ac:dyDescent="0.25">
      <c r="A66" s="15" t="s">
        <v>22</v>
      </c>
      <c r="B66" s="24" t="s">
        <v>62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f t="shared" si="2"/>
        <v>0</v>
      </c>
    </row>
    <row r="67" spans="1:15" ht="14.25" x14ac:dyDescent="0.25">
      <c r="A67" s="15" t="s">
        <v>24</v>
      </c>
      <c r="B67" s="24" t="s">
        <v>45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f t="shared" si="2"/>
        <v>0</v>
      </c>
    </row>
    <row r="68" spans="1:15" ht="14.25" x14ac:dyDescent="0.25">
      <c r="A68" s="15"/>
      <c r="B68" s="24" t="s">
        <v>46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f t="shared" si="2"/>
        <v>0</v>
      </c>
    </row>
    <row r="69" spans="1:15" ht="14.25" x14ac:dyDescent="0.25">
      <c r="A69" s="15"/>
      <c r="B69" s="24" t="s">
        <v>47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>
        <f t="shared" si="2"/>
        <v>0</v>
      </c>
    </row>
    <row r="70" spans="1:15" ht="14.25" x14ac:dyDescent="0.25">
      <c r="A70" s="15"/>
      <c r="B70" s="24" t="s">
        <v>48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>
        <f t="shared" si="2"/>
        <v>0</v>
      </c>
    </row>
    <row r="71" spans="1:15" ht="14.25" x14ac:dyDescent="0.25">
      <c r="A71" s="15"/>
      <c r="B71" s="24" t="s">
        <v>49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f t="shared" si="2"/>
        <v>0</v>
      </c>
    </row>
    <row r="72" spans="1:15" ht="14.25" x14ac:dyDescent="0.25">
      <c r="A72" s="15"/>
      <c r="B72" s="24" t="s">
        <v>50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>
        <f t="shared" si="2"/>
        <v>0</v>
      </c>
    </row>
    <row r="73" spans="1:15" ht="14.45" customHeight="1" x14ac:dyDescent="0.25">
      <c r="A73" s="21" t="s">
        <v>63</v>
      </c>
      <c r="B73" s="2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ht="14.25" x14ac:dyDescent="0.25">
      <c r="A74" s="17" t="s">
        <v>20</v>
      </c>
      <c r="B74" s="24" t="s">
        <v>64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>
        <f t="shared" si="2"/>
        <v>0</v>
      </c>
    </row>
    <row r="75" spans="1:15" ht="51.6" customHeight="1" x14ac:dyDescent="0.25">
      <c r="A75" s="26" t="s">
        <v>22</v>
      </c>
      <c r="B75" s="27" t="s">
        <v>65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17">
        <f t="shared" si="2"/>
        <v>0</v>
      </c>
    </row>
    <row r="76" spans="1:15" ht="20.45" customHeight="1" x14ac:dyDescent="0.25">
      <c r="A76" s="26" t="s">
        <v>24</v>
      </c>
      <c r="B76" s="28" t="s">
        <v>66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17">
        <f t="shared" si="2"/>
        <v>0</v>
      </c>
    </row>
  </sheetData>
  <mergeCells count="13">
    <mergeCell ref="A73:B73"/>
    <mergeCell ref="A17:B17"/>
    <mergeCell ref="C19:N19"/>
    <mergeCell ref="C24:N24"/>
    <mergeCell ref="C29:N29"/>
    <mergeCell ref="A33:B33"/>
    <mergeCell ref="C36:N36"/>
    <mergeCell ref="B1:P1"/>
    <mergeCell ref="B2:P2"/>
    <mergeCell ref="A7:B7"/>
    <mergeCell ref="A8:B8"/>
    <mergeCell ref="A14:B14"/>
    <mergeCell ref="C16:N16"/>
  </mergeCells>
  <pageMargins left="0.39370078740157483" right="0.19685039370078741" top="0.39370078740157483" bottom="0.39370078740157483" header="0" footer="0"/>
  <pageSetup paperSize="513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7919-F3A5-460A-B955-E9000E27F2A4}">
  <dimension ref="A1:Q98"/>
  <sheetViews>
    <sheetView tabSelected="1" zoomScale="85" zoomScaleNormal="85" workbookViewId="0">
      <selection activeCell="K15" sqref="K15"/>
    </sheetView>
  </sheetViews>
  <sheetFormatPr defaultColWidth="9.140625" defaultRowHeight="15" x14ac:dyDescent="0.25"/>
  <cols>
    <col min="1" max="1" width="3.85546875" style="1" customWidth="1"/>
    <col min="2" max="2" width="61" style="3" customWidth="1"/>
    <col min="3" max="14" width="9.140625" style="4" customWidth="1"/>
    <col min="15" max="15" width="13" style="4" customWidth="1"/>
    <col min="16" max="16" width="5.7109375" style="1" customWidth="1"/>
    <col min="17" max="16384" width="9.140625" style="1"/>
  </cols>
  <sheetData>
    <row r="1" spans="1:17" ht="20.100000000000001" customHeight="1" x14ac:dyDescent="0.25">
      <c r="A1" s="2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9"/>
    </row>
    <row r="2" spans="1:17" ht="20.10000000000000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9"/>
    </row>
    <row r="3" spans="1:17" ht="8.1" customHeight="1" x14ac:dyDescent="0.25"/>
    <row r="4" spans="1:17" ht="20.100000000000001" customHeight="1" x14ac:dyDescent="0.25">
      <c r="A4" s="5" t="s">
        <v>2</v>
      </c>
      <c r="C4" s="6" t="s">
        <v>3</v>
      </c>
    </row>
    <row r="5" spans="1:17" ht="20.100000000000001" customHeight="1" x14ac:dyDescent="0.25">
      <c r="A5" s="5" t="s">
        <v>4</v>
      </c>
      <c r="C5" s="6" t="s">
        <v>3</v>
      </c>
    </row>
    <row r="6" spans="1:17" ht="8.1" customHeight="1" x14ac:dyDescent="0.25"/>
    <row r="7" spans="1:17" ht="18" customHeight="1" x14ac:dyDescent="0.25">
      <c r="A7" s="30" t="s">
        <v>5</v>
      </c>
      <c r="B7" s="30"/>
      <c r="C7" s="31" t="s">
        <v>6</v>
      </c>
      <c r="D7" s="31" t="s">
        <v>7</v>
      </c>
      <c r="E7" s="31" t="s">
        <v>8</v>
      </c>
      <c r="F7" s="31" t="s">
        <v>9</v>
      </c>
      <c r="G7" s="31" t="s">
        <v>10</v>
      </c>
      <c r="H7" s="31" t="s">
        <v>11</v>
      </c>
      <c r="I7" s="31" t="s">
        <v>12</v>
      </c>
      <c r="J7" s="31" t="s">
        <v>13</v>
      </c>
      <c r="K7" s="31" t="s">
        <v>14</v>
      </c>
      <c r="L7" s="31" t="s">
        <v>15</v>
      </c>
      <c r="M7" s="31" t="s">
        <v>16</v>
      </c>
      <c r="N7" s="31" t="s">
        <v>17</v>
      </c>
      <c r="O7" s="31" t="s">
        <v>18</v>
      </c>
    </row>
    <row r="8" spans="1:17" ht="14.45" customHeight="1" x14ac:dyDescent="0.25">
      <c r="A8" s="32" t="s">
        <v>68</v>
      </c>
      <c r="B8" s="32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7" ht="14.25" x14ac:dyDescent="0.25">
      <c r="A9" s="11" t="s">
        <v>20</v>
      </c>
      <c r="B9" s="12" t="s">
        <v>69</v>
      </c>
      <c r="C9" s="34"/>
      <c r="D9" s="35"/>
      <c r="E9" s="35"/>
      <c r="F9" s="35"/>
      <c r="G9" s="35"/>
      <c r="H9" s="35"/>
      <c r="I9" s="35"/>
      <c r="J9" s="35"/>
      <c r="K9" s="35"/>
      <c r="L9" s="35"/>
      <c r="M9" s="35"/>
      <c r="N9" s="36"/>
      <c r="O9" s="13">
        <f t="shared" ref="O9:O17" si="0">SUM(C9:N9)</f>
        <v>0</v>
      </c>
    </row>
    <row r="10" spans="1:17" ht="14.25" x14ac:dyDescent="0.25">
      <c r="A10" s="11" t="s">
        <v>22</v>
      </c>
      <c r="B10" s="12" t="s">
        <v>70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7" ht="14.45" customHeight="1" x14ac:dyDescent="0.25">
      <c r="A11" s="32" t="s">
        <v>71</v>
      </c>
      <c r="B11" s="32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7" s="39" customFormat="1" ht="14.45" customHeight="1" x14ac:dyDescent="0.25">
      <c r="A12" s="37" t="s">
        <v>72</v>
      </c>
      <c r="B12" s="38" t="s">
        <v>73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7" ht="39" customHeight="1" x14ac:dyDescent="0.25">
      <c r="A13" s="40" t="s">
        <v>20</v>
      </c>
      <c r="B13" s="41" t="s">
        <v>74</v>
      </c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17">
        <f t="shared" si="0"/>
        <v>0</v>
      </c>
    </row>
    <row r="14" spans="1:17" ht="39" customHeight="1" x14ac:dyDescent="0.25">
      <c r="A14" s="40" t="s">
        <v>22</v>
      </c>
      <c r="B14" s="41" t="s">
        <v>75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f t="shared" si="0"/>
        <v>0</v>
      </c>
    </row>
    <row r="15" spans="1:17" ht="29.45" customHeight="1" x14ac:dyDescent="0.25">
      <c r="A15" s="40" t="s">
        <v>24</v>
      </c>
      <c r="B15" s="41" t="s">
        <v>76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f t="shared" si="0"/>
        <v>0</v>
      </c>
    </row>
    <row r="16" spans="1:17" ht="30.6" customHeight="1" x14ac:dyDescent="0.25">
      <c r="A16" s="40" t="s">
        <v>26</v>
      </c>
      <c r="B16" s="41" t="s">
        <v>77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f t="shared" si="0"/>
        <v>0</v>
      </c>
      <c r="Q16" s="1" t="s">
        <v>78</v>
      </c>
    </row>
    <row r="17" spans="1:15" ht="33" customHeight="1" x14ac:dyDescent="0.25">
      <c r="A17" s="42" t="s">
        <v>28</v>
      </c>
      <c r="B17" s="41" t="s">
        <v>79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f t="shared" si="0"/>
        <v>0</v>
      </c>
    </row>
    <row r="18" spans="1:15" s="39" customFormat="1" ht="14.45" customHeight="1" x14ac:dyDescent="0.25">
      <c r="A18" s="43" t="s">
        <v>80</v>
      </c>
      <c r="B18" s="44" t="s">
        <v>81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 ht="28.5" x14ac:dyDescent="0.25">
      <c r="A19" s="40" t="s">
        <v>20</v>
      </c>
      <c r="B19" s="41" t="s">
        <v>82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>
        <f t="shared" ref="O19:O86" si="1">SUM(C19:N19)</f>
        <v>0</v>
      </c>
    </row>
    <row r="20" spans="1:15" ht="21" customHeight="1" x14ac:dyDescent="0.25">
      <c r="A20" s="40"/>
      <c r="B20" s="41" t="s">
        <v>83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f t="shared" si="1"/>
        <v>0</v>
      </c>
    </row>
    <row r="21" spans="1:15" ht="21.95" customHeight="1" x14ac:dyDescent="0.25">
      <c r="A21" s="40"/>
      <c r="B21" s="41" t="s">
        <v>84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f t="shared" si="1"/>
        <v>0</v>
      </c>
    </row>
    <row r="22" spans="1:15" ht="28.5" x14ac:dyDescent="0.25">
      <c r="A22" s="40" t="s">
        <v>22</v>
      </c>
      <c r="B22" s="41" t="s">
        <v>85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f t="shared" si="1"/>
        <v>0</v>
      </c>
    </row>
    <row r="23" spans="1:15" x14ac:dyDescent="0.25">
      <c r="A23" s="43" t="s">
        <v>86</v>
      </c>
      <c r="B23" s="44" t="s">
        <v>87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ht="28.5" x14ac:dyDescent="0.25">
      <c r="A24" s="40" t="s">
        <v>20</v>
      </c>
      <c r="B24" s="41" t="s">
        <v>88</v>
      </c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20"/>
      <c r="O24" s="17">
        <f>SUM(C24)</f>
        <v>0</v>
      </c>
    </row>
    <row r="25" spans="1:15" ht="34.5" customHeight="1" x14ac:dyDescent="0.25">
      <c r="A25" s="40" t="s">
        <v>22</v>
      </c>
      <c r="B25" s="41" t="s">
        <v>89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f>SUM(C25:N25)</f>
        <v>0</v>
      </c>
    </row>
    <row r="26" spans="1:15" x14ac:dyDescent="0.25">
      <c r="A26" s="46"/>
      <c r="B26" s="47" t="s">
        <v>90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 x14ac:dyDescent="0.25">
      <c r="A27" s="15"/>
      <c r="B27" s="48" t="s">
        <v>91</v>
      </c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  <c r="O27" s="17"/>
    </row>
    <row r="28" spans="1:15" x14ac:dyDescent="0.25">
      <c r="A28" s="47" t="s">
        <v>20</v>
      </c>
      <c r="B28" s="49" t="s">
        <v>92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>
        <f>SUM(O29:O49)</f>
        <v>0</v>
      </c>
    </row>
    <row r="29" spans="1:15" ht="14.25" x14ac:dyDescent="0.25">
      <c r="A29" s="15"/>
      <c r="B29" s="24" t="s">
        <v>93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f t="shared" si="1"/>
        <v>0</v>
      </c>
    </row>
    <row r="30" spans="1:15" ht="14.25" x14ac:dyDescent="0.25">
      <c r="A30" s="15"/>
      <c r="B30" s="24" t="s">
        <v>94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f t="shared" si="1"/>
        <v>0</v>
      </c>
    </row>
    <row r="31" spans="1:15" ht="14.25" x14ac:dyDescent="0.25">
      <c r="A31" s="15"/>
      <c r="B31" s="24" t="s">
        <v>95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f t="shared" si="1"/>
        <v>0</v>
      </c>
    </row>
    <row r="32" spans="1:15" ht="14.25" x14ac:dyDescent="0.25">
      <c r="A32" s="15"/>
      <c r="B32" s="24" t="s">
        <v>96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f t="shared" si="1"/>
        <v>0</v>
      </c>
    </row>
    <row r="33" spans="1:15" ht="14.25" x14ac:dyDescent="0.25">
      <c r="A33" s="15"/>
      <c r="B33" s="24" t="s">
        <v>97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f t="shared" si="1"/>
        <v>0</v>
      </c>
    </row>
    <row r="34" spans="1:15" ht="14.25" x14ac:dyDescent="0.25">
      <c r="A34" s="15"/>
      <c r="B34" s="24" t="s">
        <v>98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f t="shared" si="1"/>
        <v>0</v>
      </c>
    </row>
    <row r="35" spans="1:15" ht="14.25" x14ac:dyDescent="0.25">
      <c r="A35" s="15"/>
      <c r="B35" s="24" t="s">
        <v>99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f t="shared" si="1"/>
        <v>0</v>
      </c>
    </row>
    <row r="36" spans="1:15" ht="14.25" x14ac:dyDescent="0.25">
      <c r="A36" s="15"/>
      <c r="B36" s="24" t="s">
        <v>100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f t="shared" si="1"/>
        <v>0</v>
      </c>
    </row>
    <row r="37" spans="1:15" ht="14.25" x14ac:dyDescent="0.25">
      <c r="A37" s="15"/>
      <c r="B37" s="24" t="s">
        <v>101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f t="shared" si="1"/>
        <v>0</v>
      </c>
    </row>
    <row r="38" spans="1:15" ht="14.25" x14ac:dyDescent="0.25">
      <c r="A38" s="15"/>
      <c r="B38" s="24" t="s">
        <v>102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f t="shared" si="1"/>
        <v>0</v>
      </c>
    </row>
    <row r="39" spans="1:15" ht="14.25" x14ac:dyDescent="0.25">
      <c r="A39" s="15"/>
      <c r="B39" s="24" t="s">
        <v>103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f t="shared" si="1"/>
        <v>0</v>
      </c>
    </row>
    <row r="40" spans="1:15" ht="14.25" x14ac:dyDescent="0.25">
      <c r="A40" s="15"/>
      <c r="B40" s="24" t="s">
        <v>104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f t="shared" si="1"/>
        <v>0</v>
      </c>
    </row>
    <row r="41" spans="1:15" ht="14.25" x14ac:dyDescent="0.25">
      <c r="A41" s="15"/>
      <c r="B41" s="24" t="s">
        <v>105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f t="shared" si="1"/>
        <v>0</v>
      </c>
    </row>
    <row r="42" spans="1:15" ht="14.25" x14ac:dyDescent="0.25">
      <c r="A42" s="15"/>
      <c r="B42" s="24" t="s">
        <v>106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f t="shared" si="1"/>
        <v>0</v>
      </c>
    </row>
    <row r="43" spans="1:15" ht="14.25" x14ac:dyDescent="0.25">
      <c r="A43" s="15"/>
      <c r="B43" s="24" t="s">
        <v>107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f t="shared" si="1"/>
        <v>0</v>
      </c>
    </row>
    <row r="44" spans="1:15" ht="14.25" x14ac:dyDescent="0.25">
      <c r="A44" s="15"/>
      <c r="B44" s="24" t="s">
        <v>108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f t="shared" si="1"/>
        <v>0</v>
      </c>
    </row>
    <row r="45" spans="1:15" ht="14.25" x14ac:dyDescent="0.25">
      <c r="A45" s="15"/>
      <c r="B45" s="24" t="s">
        <v>109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>
        <f t="shared" si="1"/>
        <v>0</v>
      </c>
    </row>
    <row r="46" spans="1:15" ht="14.25" x14ac:dyDescent="0.25">
      <c r="A46" s="15"/>
      <c r="B46" s="24" t="s">
        <v>110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f t="shared" si="1"/>
        <v>0</v>
      </c>
    </row>
    <row r="47" spans="1:15" ht="14.25" x14ac:dyDescent="0.25">
      <c r="A47" s="15"/>
      <c r="B47" s="24" t="s">
        <v>111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f t="shared" si="1"/>
        <v>0</v>
      </c>
    </row>
    <row r="48" spans="1:15" ht="14.25" x14ac:dyDescent="0.25">
      <c r="A48" s="15"/>
      <c r="B48" s="24" t="s">
        <v>112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f t="shared" si="1"/>
        <v>0</v>
      </c>
    </row>
    <row r="49" spans="1:15" ht="14.25" x14ac:dyDescent="0.25">
      <c r="A49" s="15"/>
      <c r="B49" s="24" t="s">
        <v>113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f t="shared" si="1"/>
        <v>0</v>
      </c>
    </row>
    <row r="50" spans="1:15" x14ac:dyDescent="0.25">
      <c r="A50" s="47" t="s">
        <v>22</v>
      </c>
      <c r="B50" s="49" t="s">
        <v>114</v>
      </c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>
        <f>SUM(O52:O71)</f>
        <v>0</v>
      </c>
    </row>
    <row r="51" spans="1:15" ht="14.25" x14ac:dyDescent="0.25">
      <c r="A51" s="15"/>
      <c r="B51" s="24" t="s">
        <v>93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f t="shared" si="1"/>
        <v>0</v>
      </c>
    </row>
    <row r="52" spans="1:15" ht="14.25" x14ac:dyDescent="0.25">
      <c r="A52" s="15"/>
      <c r="B52" s="24" t="s">
        <v>94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f t="shared" si="1"/>
        <v>0</v>
      </c>
    </row>
    <row r="53" spans="1:15" ht="14.25" x14ac:dyDescent="0.25">
      <c r="A53" s="15"/>
      <c r="B53" s="24" t="s">
        <v>95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f t="shared" si="1"/>
        <v>0</v>
      </c>
    </row>
    <row r="54" spans="1:15" ht="14.25" x14ac:dyDescent="0.25">
      <c r="A54" s="15"/>
      <c r="B54" s="24" t="s">
        <v>96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>
        <f t="shared" si="1"/>
        <v>0</v>
      </c>
    </row>
    <row r="55" spans="1:15" ht="14.25" x14ac:dyDescent="0.25">
      <c r="A55" s="15"/>
      <c r="B55" s="24" t="s">
        <v>97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f t="shared" si="1"/>
        <v>0</v>
      </c>
    </row>
    <row r="56" spans="1:15" ht="14.25" x14ac:dyDescent="0.25">
      <c r="A56" s="15"/>
      <c r="B56" s="24" t="s">
        <v>98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f t="shared" si="1"/>
        <v>0</v>
      </c>
    </row>
    <row r="57" spans="1:15" ht="14.25" x14ac:dyDescent="0.25">
      <c r="A57" s="15"/>
      <c r="B57" s="24" t="s">
        <v>99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f t="shared" si="1"/>
        <v>0</v>
      </c>
    </row>
    <row r="58" spans="1:15" ht="14.25" x14ac:dyDescent="0.25">
      <c r="A58" s="15"/>
      <c r="B58" s="24" t="s">
        <v>100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>
        <f t="shared" si="1"/>
        <v>0</v>
      </c>
    </row>
    <row r="59" spans="1:15" ht="14.25" x14ac:dyDescent="0.25">
      <c r="A59" s="15"/>
      <c r="B59" s="24" t="s">
        <v>101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>
        <f t="shared" si="1"/>
        <v>0</v>
      </c>
    </row>
    <row r="60" spans="1:15" ht="14.25" x14ac:dyDescent="0.25">
      <c r="A60" s="15"/>
      <c r="B60" s="24" t="s">
        <v>102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>
        <f t="shared" si="1"/>
        <v>0</v>
      </c>
    </row>
    <row r="61" spans="1:15" ht="14.25" x14ac:dyDescent="0.25">
      <c r="A61" s="15"/>
      <c r="B61" s="24" t="s">
        <v>103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f t="shared" si="1"/>
        <v>0</v>
      </c>
    </row>
    <row r="62" spans="1:15" ht="14.25" x14ac:dyDescent="0.25">
      <c r="A62" s="15"/>
      <c r="B62" s="24" t="s">
        <v>104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f t="shared" si="1"/>
        <v>0</v>
      </c>
    </row>
    <row r="63" spans="1:15" ht="14.25" x14ac:dyDescent="0.25">
      <c r="A63" s="15"/>
      <c r="B63" s="24" t="s">
        <v>105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f t="shared" si="1"/>
        <v>0</v>
      </c>
    </row>
    <row r="64" spans="1:15" ht="14.25" x14ac:dyDescent="0.25">
      <c r="A64" s="15"/>
      <c r="B64" s="24" t="s">
        <v>106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f t="shared" si="1"/>
        <v>0</v>
      </c>
    </row>
    <row r="65" spans="1:15" ht="14.25" x14ac:dyDescent="0.25">
      <c r="A65" s="15"/>
      <c r="B65" s="24" t="s">
        <v>107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f t="shared" si="1"/>
        <v>0</v>
      </c>
    </row>
    <row r="66" spans="1:15" ht="14.25" x14ac:dyDescent="0.25">
      <c r="A66" s="15"/>
      <c r="B66" s="24" t="s">
        <v>108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f t="shared" si="1"/>
        <v>0</v>
      </c>
    </row>
    <row r="67" spans="1:15" ht="14.25" x14ac:dyDescent="0.25">
      <c r="A67" s="15"/>
      <c r="B67" s="24" t="s">
        <v>109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f t="shared" si="1"/>
        <v>0</v>
      </c>
    </row>
    <row r="68" spans="1:15" ht="14.25" x14ac:dyDescent="0.25">
      <c r="A68" s="15"/>
      <c r="B68" s="24" t="s">
        <v>110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f t="shared" si="1"/>
        <v>0</v>
      </c>
    </row>
    <row r="69" spans="1:15" ht="14.25" x14ac:dyDescent="0.25">
      <c r="A69" s="15"/>
      <c r="B69" s="24" t="s">
        <v>111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>
        <f t="shared" si="1"/>
        <v>0</v>
      </c>
    </row>
    <row r="70" spans="1:15" ht="14.25" x14ac:dyDescent="0.25">
      <c r="A70" s="15"/>
      <c r="B70" s="24" t="s">
        <v>112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>
        <f t="shared" si="1"/>
        <v>0</v>
      </c>
    </row>
    <row r="71" spans="1:15" ht="14.25" x14ac:dyDescent="0.25">
      <c r="A71" s="15"/>
      <c r="B71" s="24" t="s">
        <v>113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f t="shared" si="1"/>
        <v>0</v>
      </c>
    </row>
    <row r="72" spans="1:15" x14ac:dyDescent="0.25">
      <c r="A72" s="47" t="s">
        <v>24</v>
      </c>
      <c r="B72" s="49" t="s">
        <v>115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50">
        <f>SUM(O73:O93)</f>
        <v>0</v>
      </c>
    </row>
    <row r="73" spans="1:15" ht="14.25" x14ac:dyDescent="0.25">
      <c r="A73" s="15"/>
      <c r="B73" s="24" t="s">
        <v>93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>
        <f t="shared" si="1"/>
        <v>0</v>
      </c>
    </row>
    <row r="74" spans="1:15" ht="14.25" x14ac:dyDescent="0.25">
      <c r="A74" s="15"/>
      <c r="B74" s="24" t="s">
        <v>94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>
        <f t="shared" si="1"/>
        <v>0</v>
      </c>
    </row>
    <row r="75" spans="1:15" ht="14.25" x14ac:dyDescent="0.25">
      <c r="A75" s="15"/>
      <c r="B75" s="24" t="s">
        <v>95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>
        <f t="shared" si="1"/>
        <v>0</v>
      </c>
    </row>
    <row r="76" spans="1:15" ht="14.25" x14ac:dyDescent="0.25">
      <c r="A76" s="15"/>
      <c r="B76" s="24" t="s">
        <v>96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>
        <f t="shared" si="1"/>
        <v>0</v>
      </c>
    </row>
    <row r="77" spans="1:15" ht="14.25" x14ac:dyDescent="0.25">
      <c r="A77" s="15"/>
      <c r="B77" s="24" t="s">
        <v>97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>
        <f t="shared" si="1"/>
        <v>0</v>
      </c>
    </row>
    <row r="78" spans="1:15" ht="14.25" x14ac:dyDescent="0.25">
      <c r="A78" s="15"/>
      <c r="B78" s="24" t="s">
        <v>98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>
        <f t="shared" si="1"/>
        <v>0</v>
      </c>
    </row>
    <row r="79" spans="1:15" ht="14.25" x14ac:dyDescent="0.25">
      <c r="A79" s="15"/>
      <c r="B79" s="24" t="s">
        <v>99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>
        <f t="shared" si="1"/>
        <v>0</v>
      </c>
    </row>
    <row r="80" spans="1:15" ht="14.25" x14ac:dyDescent="0.25">
      <c r="A80" s="15"/>
      <c r="B80" s="24" t="s">
        <v>100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f t="shared" si="1"/>
        <v>0</v>
      </c>
    </row>
    <row r="81" spans="1:15" ht="14.25" x14ac:dyDescent="0.25">
      <c r="A81" s="15"/>
      <c r="B81" s="24" t="s">
        <v>101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f t="shared" si="1"/>
        <v>0</v>
      </c>
    </row>
    <row r="82" spans="1:15" ht="14.25" x14ac:dyDescent="0.25">
      <c r="A82" s="15"/>
      <c r="B82" s="24" t="s">
        <v>102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f t="shared" si="1"/>
        <v>0</v>
      </c>
    </row>
    <row r="83" spans="1:15" ht="14.25" x14ac:dyDescent="0.25">
      <c r="A83" s="15"/>
      <c r="B83" s="24" t="s">
        <v>103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>
        <f t="shared" si="1"/>
        <v>0</v>
      </c>
    </row>
    <row r="84" spans="1:15" ht="14.25" x14ac:dyDescent="0.25">
      <c r="A84" s="15"/>
      <c r="B84" s="24" t="s">
        <v>104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>
        <f t="shared" si="1"/>
        <v>0</v>
      </c>
    </row>
    <row r="85" spans="1:15" ht="14.25" x14ac:dyDescent="0.25">
      <c r="A85" s="15"/>
      <c r="B85" s="24" t="s">
        <v>105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>
        <f t="shared" si="1"/>
        <v>0</v>
      </c>
    </row>
    <row r="86" spans="1:15" ht="14.25" x14ac:dyDescent="0.25">
      <c r="A86" s="15"/>
      <c r="B86" s="24" t="s">
        <v>106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>
        <f t="shared" si="1"/>
        <v>0</v>
      </c>
    </row>
    <row r="87" spans="1:15" ht="14.25" x14ac:dyDescent="0.25">
      <c r="A87" s="15"/>
      <c r="B87" s="24" t="s">
        <v>107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>
        <f t="shared" ref="O87:O98" si="2">SUM(C87:N87)</f>
        <v>0</v>
      </c>
    </row>
    <row r="88" spans="1:15" ht="14.25" x14ac:dyDescent="0.25">
      <c r="A88" s="15"/>
      <c r="B88" s="24" t="s">
        <v>108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>
        <f t="shared" si="2"/>
        <v>0</v>
      </c>
    </row>
    <row r="89" spans="1:15" ht="14.25" x14ac:dyDescent="0.25">
      <c r="A89" s="15"/>
      <c r="B89" s="24" t="s">
        <v>109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>
        <f t="shared" si="2"/>
        <v>0</v>
      </c>
    </row>
    <row r="90" spans="1:15" ht="14.25" x14ac:dyDescent="0.25">
      <c r="A90" s="15"/>
      <c r="B90" s="24" t="s">
        <v>110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>
        <f t="shared" si="2"/>
        <v>0</v>
      </c>
    </row>
    <row r="91" spans="1:15" ht="14.25" x14ac:dyDescent="0.25">
      <c r="A91" s="15"/>
      <c r="B91" s="24" t="s">
        <v>111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>
        <f t="shared" si="2"/>
        <v>0</v>
      </c>
    </row>
    <row r="92" spans="1:15" ht="14.25" x14ac:dyDescent="0.25">
      <c r="A92" s="15"/>
      <c r="B92" s="24" t="s">
        <v>112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>
        <f t="shared" si="2"/>
        <v>0</v>
      </c>
    </row>
    <row r="93" spans="1:15" ht="14.25" x14ac:dyDescent="0.25">
      <c r="A93" s="15"/>
      <c r="B93" s="24" t="s">
        <v>113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>
        <f t="shared" si="2"/>
        <v>0</v>
      </c>
    </row>
    <row r="94" spans="1:15" x14ac:dyDescent="0.25">
      <c r="A94" s="46"/>
      <c r="B94" s="47" t="s">
        <v>116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</row>
    <row r="95" spans="1:15" ht="14.25" x14ac:dyDescent="0.25">
      <c r="A95" s="15" t="s">
        <v>20</v>
      </c>
      <c r="B95" s="24" t="s">
        <v>117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>
        <f t="shared" si="2"/>
        <v>0</v>
      </c>
    </row>
    <row r="96" spans="1:15" ht="14.45" customHeight="1" x14ac:dyDescent="0.25">
      <c r="A96" s="51" t="s">
        <v>118</v>
      </c>
      <c r="B96" s="52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</row>
    <row r="97" spans="1:15" ht="34.5" customHeight="1" x14ac:dyDescent="0.25">
      <c r="A97" s="15" t="s">
        <v>20</v>
      </c>
      <c r="B97" s="16" t="s">
        <v>119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>
        <f t="shared" si="2"/>
        <v>0</v>
      </c>
    </row>
    <row r="98" spans="1:15" ht="117.95" customHeight="1" x14ac:dyDescent="0.25">
      <c r="A98" s="15" t="s">
        <v>22</v>
      </c>
      <c r="B98" s="16" t="s">
        <v>120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>
        <f t="shared" si="2"/>
        <v>0</v>
      </c>
    </row>
  </sheetData>
  <mergeCells count="10">
    <mergeCell ref="C13:N13"/>
    <mergeCell ref="C24:N24"/>
    <mergeCell ref="C27:N27"/>
    <mergeCell ref="A96:B96"/>
    <mergeCell ref="A1:O1"/>
    <mergeCell ref="A2:O2"/>
    <mergeCell ref="A7:B7"/>
    <mergeCell ref="A8:B8"/>
    <mergeCell ref="C9:N9"/>
    <mergeCell ref="A11:B11"/>
  </mergeCells>
  <pageMargins left="0.39370078740157483" right="0.19685039370078741" top="0.39370078740157483" bottom="0.39370078740157483" header="0" footer="0"/>
  <pageSetup paperSize="513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LBKO 2025</vt:lpstr>
      <vt:lpstr>LBKP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ALIEF COMPUTER</dc:creator>
  <cp:lastModifiedBy>ALIEF COMPUTER</cp:lastModifiedBy>
  <dcterms:created xsi:type="dcterms:W3CDTF">2026-06-29T02:33:32Z</dcterms:created>
  <dcterms:modified xsi:type="dcterms:W3CDTF">2026-06-29T02:34:13Z</dcterms:modified>
</cp:coreProperties>
</file>